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381490ED9D084D/Documentos/"/>
    </mc:Choice>
  </mc:AlternateContent>
  <xr:revisionPtr revIDLastSave="1" documentId="8_{D514500B-EFC2-41E8-8B57-F5762488D099}" xr6:coauthVersionLast="47" xr6:coauthVersionMax="47" xr10:uidLastSave="{5581C5B9-F26C-45FB-8C28-15B2E9B7C9F7}"/>
  <bookViews>
    <workbookView xWindow="28680" yWindow="-105" windowWidth="29040" windowHeight="15840" xr2:uid="{84319042-4F3C-41AA-B5B1-4981E59036EE}"/>
  </bookViews>
  <sheets>
    <sheet name="Calculos" sheetId="1" r:id="rId1"/>
    <sheet name="BD" sheetId="2" r:id="rId2"/>
  </sheets>
  <definedNames>
    <definedName name="aporte">Calculos!$D$13</definedName>
    <definedName name="patrimonio">Calculos!$D$16</definedName>
    <definedName name="qtd_anos">Calculos!$D$14</definedName>
    <definedName name="red_carteira">Calculos!$D$9</definedName>
    <definedName name="salario">Calculos!$D$8</definedName>
    <definedName name="tax_mensal">Calculos!$D$15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  <c r="C32" i="1"/>
  <c r="C31" i="1"/>
  <c r="D28" i="1"/>
  <c r="D16" i="1"/>
  <c r="D17" i="1" s="1"/>
  <c r="D10" i="1"/>
  <c r="C22" i="1"/>
  <c r="D22" i="1" s="1"/>
  <c r="C23" i="1"/>
  <c r="D23" i="1" s="1"/>
  <c r="C24" i="1"/>
  <c r="D24" i="1" s="1"/>
  <c r="C20" i="1"/>
  <c r="D20" i="1" s="1"/>
  <c r="D31" i="1" l="1"/>
  <c r="D32" i="1"/>
  <c r="D33" i="1"/>
  <c r="D34" i="1"/>
  <c r="D35" i="1"/>
  <c r="D36" i="1"/>
  <c r="C21" i="1"/>
  <c r="D21" i="1" s="1"/>
  <c r="D37" i="1" l="1"/>
</calcChain>
</file>

<file path=xl/sharedStrings.xml><?xml version="1.0" encoding="utf-8"?>
<sst xmlns="http://schemas.openxmlformats.org/spreadsheetml/2006/main" count="87" uniqueCount="51">
  <si>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</si>
  <si>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</si>
  <si>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</si>
  <si>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</si>
  <si>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</si>
  <si>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</si>
  <si>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CONFIGURAÇÕES</t>
  </si>
  <si>
    <t>Salário</t>
  </si>
  <si>
    <t>Rendimento Carteira</t>
  </si>
  <si>
    <t>Sugestão de Investimento (30%)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</si>
  <si>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</si>
  <si>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</si>
  <si>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</si>
  <si>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</si>
  <si>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</si>
  <si>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</si>
  <si>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CENÁRIOS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</si>
  <si>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</si>
  <si>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</si>
  <si>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</si>
  <si>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</si>
  <si>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</si>
  <si>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</si>
  <si>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</si>
  <si>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</si>
  <si>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</si>
  <si>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</si>
  <si>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</si>
  <si>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</si>
  <si>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</si>
  <si>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Conservador-PAPEL</t>
  </si>
  <si>
    <t>Conservador</t>
  </si>
  <si>
    <t>Conservador-TIJOLO</t>
  </si>
  <si>
    <t>Moderado-TIJOLO</t>
  </si>
  <si>
    <t>Conservador-HÍBRIDOS</t>
  </si>
  <si>
    <t>Conservador-FOFs</t>
  </si>
  <si>
    <t>Conservador-DESENVOLVIMENTO</t>
  </si>
  <si>
    <t>Conservador-HOTELARIAS</t>
  </si>
  <si>
    <t>Moderado-PAPEL</t>
  </si>
  <si>
    <t>Moderado-HÍBRIDOS</t>
  </si>
  <si>
    <t>Moderado-FOFs</t>
  </si>
  <si>
    <t>Moderado-DESENVOLVIMENTO</t>
  </si>
  <si>
    <t>Moderado-HOTELARIAS</t>
  </si>
  <si>
    <t>Agressivo-PAPEL</t>
  </si>
  <si>
    <t>Agressivo</t>
  </si>
  <si>
    <t>Agressivo-TIJOLO</t>
  </si>
  <si>
    <t>Agressivo-HÍBRIDOS</t>
  </si>
  <si>
    <t>Agressivo-FOFs</t>
  </si>
  <si>
    <t>Agressivo-DESENVOLVIMENTO</t>
  </si>
  <si>
    <t>Agressivo-HOTELARIAS</t>
  </si>
  <si>
    <t>CHAVE ÚNICA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</si>
</sst>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000000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8" fontId="3" fillId="2" borderId="13" xfId="0" applyNumberFormat="1" applyFont="1" applyFill="1" applyBorder="1" applyAlignment="1">
      <alignment horizontal="center"/>
    </xf>
    <xf numFmtId="8" fontId="3" fillId="2" borderId="15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/>
    <xf numFmtId="0" fontId="5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8" fontId="9" fillId="6" borderId="16" xfId="0" applyNumberFormat="1" applyFont="1" applyFill="1" applyBorder="1" applyAlignment="1">
      <alignment horizontal="center"/>
    </xf>
    <xf numFmtId="8" fontId="9" fillId="6" borderId="17" xfId="0" applyNumberFormat="1" applyFont="1" applyFill="1" applyBorder="1" applyAlignment="1">
      <alignment horizontal="center"/>
    </xf>
    <xf numFmtId="0" fontId="8" fillId="6" borderId="10" xfId="0" applyFont="1" applyFill="1" applyBorder="1" applyAlignment="1">
      <alignment horizontal="left" vertical="center"/>
    </xf>
    <xf numFmtId="8" fontId="9" fillId="6" borderId="11" xfId="0" applyNumberFormat="1" applyFont="1" applyFill="1" applyBorder="1" applyAlignment="1">
      <alignment horizontal="center"/>
    </xf>
    <xf numFmtId="0" fontId="8" fillId="6" borderId="12" xfId="0" applyFont="1" applyFill="1" applyBorder="1" applyAlignment="1">
      <alignment horizontal="left" vertical="center"/>
    </xf>
    <xf numFmtId="8" fontId="9" fillId="6" borderId="13" xfId="0" applyNumberFormat="1" applyFont="1" applyFill="1" applyBorder="1" applyAlignment="1">
      <alignment horizontal="center"/>
    </xf>
    <xf numFmtId="0" fontId="8" fillId="6" borderId="14" xfId="0" applyFont="1" applyFill="1" applyBorder="1" applyAlignment="1">
      <alignment horizontal="left" vertical="center"/>
    </xf>
    <xf numFmtId="8" fontId="9" fillId="6" borderId="19" xfId="0" applyNumberFormat="1" applyFont="1" applyFill="1" applyBorder="1" applyAlignment="1">
      <alignment horizontal="center"/>
    </xf>
    <xf numFmtId="8" fontId="9" fillId="6" borderId="15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12" fillId="12" borderId="0" xfId="0" applyFont="1" applyFill="1"/>
    <xf numFmtId="0" fontId="12" fillId="12" borderId="0" xfId="0" applyFont="1" applyFill="1" applyAlignment="1">
      <alignment horizontal="center"/>
    </xf>
    <xf numFmtId="0" fontId="9" fillId="0" borderId="0" xfId="0" applyFont="1"/>
    <xf numFmtId="0" fontId="9" fillId="0" borderId="20" xfId="0" applyFont="1" applyBorder="1"/>
    <xf numFmtId="0" fontId="9" fillId="0" borderId="20" xfId="0" applyFont="1" applyBorder="1" applyAlignment="1">
      <alignment horizontal="center"/>
    </xf>
    <xf numFmtId="9" fontId="9" fillId="0" borderId="20" xfId="0" applyNumberFormat="1" applyFont="1" applyBorder="1" applyAlignment="1">
      <alignment horizontal="center"/>
    </xf>
    <xf numFmtId="0" fontId="5" fillId="7" borderId="2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8" fontId="6" fillId="0" borderId="24" xfId="0" applyNumberFormat="1" applyFont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10" fontId="6" fillId="0" borderId="13" xfId="0" applyNumberFormat="1" applyFont="1" applyBorder="1" applyAlignment="1">
      <alignment horizontal="center"/>
    </xf>
    <xf numFmtId="0" fontId="10" fillId="8" borderId="14" xfId="0" applyFont="1" applyFill="1" applyBorder="1" applyAlignment="1">
      <alignment horizontal="left"/>
    </xf>
    <xf numFmtId="0" fontId="10" fillId="8" borderId="19" xfId="0" applyFont="1" applyFill="1" applyBorder="1" applyAlignment="1">
      <alignment horizontal="left"/>
    </xf>
    <xf numFmtId="8" fontId="6" fillId="9" borderId="15" xfId="0" applyNumberFormat="1" applyFont="1" applyFill="1" applyBorder="1" applyAlignment="1">
      <alignment horizontal="center"/>
    </xf>
    <xf numFmtId="44" fontId="3" fillId="0" borderId="24" xfId="1" applyFont="1" applyBorder="1" applyAlignment="1">
      <alignment horizontal="center"/>
    </xf>
    <xf numFmtId="0" fontId="11" fillId="2" borderId="12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left"/>
    </xf>
    <xf numFmtId="0" fontId="11" fillId="2" borderId="14" xfId="0" applyFont="1" applyFill="1" applyBorder="1" applyAlignment="1">
      <alignment horizontal="left"/>
    </xf>
    <xf numFmtId="0" fontId="11" fillId="2" borderId="19" xfId="0" applyFont="1" applyFill="1" applyBorder="1" applyAlignment="1">
      <alignment horizontal="left"/>
    </xf>
    <xf numFmtId="0" fontId="13" fillId="10" borderId="0" xfId="0" applyFont="1" applyFill="1" applyAlignment="1">
      <alignment horizontal="left"/>
    </xf>
    <xf numFmtId="0" fontId="13" fillId="10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8" fontId="14" fillId="4" borderId="0" xfId="0" applyNumberFormat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4" fillId="11" borderId="0" xfId="0" applyFont="1" applyFill="1" applyAlignment="1">
      <alignment horizontal="center"/>
    </xf>
    <xf numFmtId="0" fontId="14" fillId="11" borderId="0" xfId="0" applyFont="1" applyFill="1"/>
    <xf numFmtId="8" fontId="14" fillId="11" borderId="0" xfId="0" applyNumberFormat="1" applyFont="1" applyFill="1" applyAlignment="1">
      <alignment horizontal="center"/>
    </xf>
    <xf numFmtId="0" fontId="8" fillId="0" borderId="4" xfId="0" applyFont="1" applyBorder="1" applyAlignment="1">
      <alignment horizontal="left"/>
    </xf>
    <xf numFmtId="9" fontId="8" fillId="0" borderId="16" xfId="0" applyNumberFormat="1" applyFont="1" applyBorder="1" applyAlignment="1">
      <alignment horizontal="center" wrapText="1"/>
    </xf>
    <xf numFmtId="8" fontId="8" fillId="9" borderId="5" xfId="0" applyNumberFormat="1" applyFont="1" applyFill="1" applyBorder="1" applyAlignment="1">
      <alignment horizontal="center"/>
    </xf>
    <xf numFmtId="0" fontId="8" fillId="0" borderId="6" xfId="0" applyFont="1" applyBorder="1" applyAlignment="1">
      <alignment horizontal="left"/>
    </xf>
    <xf numFmtId="9" fontId="8" fillId="0" borderId="17" xfId="0" applyNumberFormat="1" applyFont="1" applyBorder="1" applyAlignment="1">
      <alignment horizontal="center"/>
    </xf>
    <xf numFmtId="8" fontId="8" fillId="9" borderId="7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9" fontId="8" fillId="0" borderId="18" xfId="0" applyNumberFormat="1" applyFont="1" applyBorder="1" applyAlignment="1">
      <alignment horizontal="center"/>
    </xf>
    <xf numFmtId="8" fontId="8" fillId="9" borderId="9" xfId="0" applyNumberFormat="1" applyFont="1" applyFill="1" applyBorder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9" fontId="9" fillId="0" borderId="0" xfId="0" applyNumberFormat="1" applyFont="1" applyFill="1" applyAlignment="1">
      <alignment horizontal="center"/>
    </xf>
    <xf numFmtId="0" fontId="2" fillId="0" borderId="0" xfId="0" applyFont="1" applyFill="1"/>
    <xf numFmtId="9" fontId="2" fillId="0" borderId="0" xfId="0" applyNumberFormat="1" applyFont="1" applyFill="1"/>
  </cellXfs>
  <cellStyles count="2">
    <cellStyle name="Moeda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Calculos!$C$30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Calculos!$B$31:$B$36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Calculos!$C$31:$C$36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E-44F3-88CD-C9D529D58A8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152400</xdr:rowOff>
    </xdr:from>
    <xdr:to>
      <xdr:col>4</xdr:col>
      <xdr:colOff>48038</xdr:colOff>
      <xdr:row>5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9748E2-1858-9C3C-95C2-DD28E380AA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613"/>
        <a:stretch/>
      </xdr:blipFill>
      <xdr:spPr bwMode="auto">
        <a:xfrm>
          <a:off x="504825" y="152400"/>
          <a:ext cx="3677063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37</xdr:row>
      <xdr:rowOff>95250</xdr:rowOff>
    </xdr:from>
    <xdr:to>
      <xdr:col>4</xdr:col>
      <xdr:colOff>571500</xdr:colOff>
      <xdr:row>51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8B22F8-1AE0-3644-3869-E3FE4BF16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51E6B-C7CF-41CD-8764-D5D1969CDBD4}" name="Tabela1" displayName="Tabela1" ref="A2:D20" totalsRowShown="0">
  <autoFilter ref="A2:D20" xr:uid="{7F651E6B-C7CF-41CD-8764-D5D1969CDBD4}"/>
  <tableColumns count="4">
    <tableColumn id="1" xr3:uid="{BF0C5144-D976-420A-8B14-C944AECCD0E0}" name="CHAVE ÚNICA" dataDxfId="3"/>
    <tableColumn id="2" xr3:uid="{C25EF3D8-8A2C-4E75-A84A-D0FF6C496188}" name="PERFIL" dataDxfId="2"/>
    <tableColumn id="3" xr3:uid="{EA4C2799-0F39-41B2-B4A4-5E9CA27C18E1}" name="TIPO DE FII" dataDxfId="1"/>
    <tableColumn id="4" xr3:uid="{07AFAB51-2816-47B8-A91D-8AF3FFE38E58}" name="%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C07-94EF-492F-9C85-330F5E452192}">
  <dimension ref="A6:I37"/>
  <sheetViews>
    <sheetView showGridLines="0" tabSelected="1" workbookViewId="0">
      <selection activeCell="D27" sqref="D27"/>
    </sheetView>
  </sheetViews>
  <sheetFormatPr defaultColWidth="0" defaultRowHeight="15" x14ac:dyDescent="0.25"/>
  <cols>
    <col min="1" max="1" width="9.140625" customWidth="1"/>
    <col min="2" max="2" width="20.7109375" bestFit="1" customWidth="1"/>
    <col min="3" max="3" width="19.42578125" style="1" bestFit="1" customWidth="1"/>
    <col min="4" max="4" width="12.7109375" bestFit="1" customWidth="1"/>
    <col min="5" max="5" width="9.140625" customWidth="1"/>
    <col min="6" max="7" width="9.140625" hidden="1" customWidth="1"/>
    <col min="8" max="8" width="6.42578125" hidden="1"/>
    <col min="9" max="9" width="9.5703125" hidden="1"/>
    <col min="10" max="16384" width="9.140625" hidden="1"/>
  </cols>
  <sheetData>
    <row r="6" spans="2:4" ht="15.75" thickBot="1" x14ac:dyDescent="0.3"/>
    <row r="7" spans="2:4" ht="27" thickBot="1" x14ac:dyDescent="0.3">
      <c r="B7" s="11" t="s">
        <v>6</v>
      </c>
      <c r="C7" s="30"/>
      <c r="D7" s="12"/>
    </row>
    <row r="8" spans="2:4" ht="15.75" x14ac:dyDescent="0.25">
      <c r="B8" s="34" t="s">
        <v>7</v>
      </c>
      <c r="C8" s="35"/>
      <c r="D8" s="36">
        <v>2000</v>
      </c>
    </row>
    <row r="9" spans="2:4" ht="15.75" x14ac:dyDescent="0.25">
      <c r="B9" s="37" t="s">
        <v>8</v>
      </c>
      <c r="C9" s="38"/>
      <c r="D9" s="39">
        <v>1.0789999999999999E-2</v>
      </c>
    </row>
    <row r="10" spans="2:4" ht="16.5" thickBot="1" x14ac:dyDescent="0.3">
      <c r="B10" s="40" t="s">
        <v>9</v>
      </c>
      <c r="C10" s="41"/>
      <c r="D10" s="42">
        <f>salario*30%</f>
        <v>600</v>
      </c>
    </row>
    <row r="11" spans="2:4" ht="15.75" thickBot="1" x14ac:dyDescent="0.3">
      <c r="C11" s="6"/>
    </row>
    <row r="12" spans="2:4" ht="27" thickBot="1" x14ac:dyDescent="0.3">
      <c r="B12" s="31" t="s">
        <v>5</v>
      </c>
      <c r="C12" s="32"/>
      <c r="D12" s="33"/>
    </row>
    <row r="13" spans="2:4" ht="15.75" x14ac:dyDescent="0.25">
      <c r="B13" s="34" t="s">
        <v>0</v>
      </c>
      <c r="C13" s="35"/>
      <c r="D13" s="43">
        <v>500</v>
      </c>
    </row>
    <row r="14" spans="2:4" ht="15.75" x14ac:dyDescent="0.25">
      <c r="B14" s="37" t="s">
        <v>1</v>
      </c>
      <c r="C14" s="38"/>
      <c r="D14" s="2">
        <v>5</v>
      </c>
    </row>
    <row r="15" spans="2:4" ht="15.75" x14ac:dyDescent="0.25">
      <c r="B15" s="37" t="s">
        <v>2</v>
      </c>
      <c r="C15" s="38"/>
      <c r="D15" s="3">
        <v>1.0789999999999999E-2</v>
      </c>
    </row>
    <row r="16" spans="2:4" ht="15.75" x14ac:dyDescent="0.25">
      <c r="B16" s="44" t="s">
        <v>3</v>
      </c>
      <c r="C16" s="45"/>
      <c r="D16" s="4">
        <f>FV(tax_mensal,qtd_anos*12,aporte*-1)</f>
        <v>41888.456999243819</v>
      </c>
    </row>
    <row r="17" spans="1:4" ht="16.5" thickBot="1" x14ac:dyDescent="0.3">
      <c r="B17" s="46" t="s">
        <v>4</v>
      </c>
      <c r="C17" s="47"/>
      <c r="D17" s="5">
        <f>patrimonio*red_carteira</f>
        <v>451.97645102184077</v>
      </c>
    </row>
    <row r="18" spans="1:4" ht="15.75" thickBot="1" x14ac:dyDescent="0.3"/>
    <row r="19" spans="1:4" ht="27" thickBot="1" x14ac:dyDescent="0.3">
      <c r="B19" s="8" t="s">
        <v>16</v>
      </c>
      <c r="C19" s="9"/>
      <c r="D19" s="10" t="s">
        <v>10</v>
      </c>
    </row>
    <row r="20" spans="1:4" ht="15.75" x14ac:dyDescent="0.25">
      <c r="A20" s="7">
        <v>2</v>
      </c>
      <c r="B20" s="15" t="s">
        <v>11</v>
      </c>
      <c r="C20" s="13">
        <f>FV($D$15,$A20*12,$D$13*-1)</f>
        <v>13613.813648822608</v>
      </c>
      <c r="D20" s="16">
        <f>C20*red_carteira</f>
        <v>146.89304927079593</v>
      </c>
    </row>
    <row r="21" spans="1:4" ht="15.75" x14ac:dyDescent="0.25">
      <c r="A21" s="7">
        <v>5</v>
      </c>
      <c r="B21" s="17" t="s">
        <v>12</v>
      </c>
      <c r="C21" s="14">
        <f>FV($D$15,$A21*12,$D$13*-1)</f>
        <v>41888.456999243819</v>
      </c>
      <c r="D21" s="18">
        <f>C21*red_carteira</f>
        <v>451.97645102184077</v>
      </c>
    </row>
    <row r="22" spans="1:4" ht="15.75" x14ac:dyDescent="0.25">
      <c r="A22" s="7">
        <v>10</v>
      </c>
      <c r="B22" s="17" t="s">
        <v>13</v>
      </c>
      <c r="C22" s="14">
        <f>FV($D$15,$A22*12,$D$13*-1)</f>
        <v>121642.1062650861</v>
      </c>
      <c r="D22" s="18">
        <f>C22*red_carteira</f>
        <v>1312.5183266002789</v>
      </c>
    </row>
    <row r="23" spans="1:4" ht="15.75" x14ac:dyDescent="0.25">
      <c r="A23" s="7">
        <v>20</v>
      </c>
      <c r="B23" s="17" t="s">
        <v>14</v>
      </c>
      <c r="C23" s="14">
        <f>FV($D$15,$A23*12,$D$13*-1)</f>
        <v>562599.20004854025</v>
      </c>
      <c r="D23" s="18">
        <f>C23*red_carteira</f>
        <v>6070.4453685237486</v>
      </c>
    </row>
    <row r="24" spans="1:4" ht="16.5" thickBot="1" x14ac:dyDescent="0.3">
      <c r="A24" s="7">
        <v>30</v>
      </c>
      <c r="B24" s="19" t="s">
        <v>15</v>
      </c>
      <c r="C24" s="20">
        <f>FV($D$15,$A24*12,$D$13*-1)</f>
        <v>2161084.8275023573</v>
      </c>
      <c r="D24" s="21">
        <f>C24*red_carteira</f>
        <v>23318.105288750434</v>
      </c>
    </row>
    <row r="27" spans="1:4" ht="15.75" x14ac:dyDescent="0.25">
      <c r="B27" s="48" t="s">
        <v>17</v>
      </c>
      <c r="C27" s="48"/>
      <c r="D27" s="49" t="s">
        <v>31</v>
      </c>
    </row>
    <row r="28" spans="1:4" ht="15.75" x14ac:dyDescent="0.25">
      <c r="B28" s="50" t="s">
        <v>19</v>
      </c>
      <c r="C28" s="50"/>
      <c r="D28" s="51">
        <f>aporte</f>
        <v>500</v>
      </c>
    </row>
    <row r="29" spans="1:4" ht="15.75" x14ac:dyDescent="0.25">
      <c r="B29" s="52"/>
      <c r="C29" s="53"/>
      <c r="D29" s="52"/>
    </row>
    <row r="30" spans="1:4" ht="15.75" x14ac:dyDescent="0.25">
      <c r="B30" s="54" t="s">
        <v>20</v>
      </c>
      <c r="C30" s="54" t="s">
        <v>21</v>
      </c>
      <c r="D30" s="54" t="s">
        <v>22</v>
      </c>
    </row>
    <row r="31" spans="1:4" ht="15.75" x14ac:dyDescent="0.25">
      <c r="B31" s="57" t="s">
        <v>23</v>
      </c>
      <c r="C31" s="58">
        <f>VLOOKUP($D$27&amp;"-"&amp;B31,BD!$A:$D,4,FALSE)</f>
        <v>0.3</v>
      </c>
      <c r="D31" s="59">
        <f>$D$28*C31</f>
        <v>150</v>
      </c>
    </row>
    <row r="32" spans="1:4" ht="15.75" x14ac:dyDescent="0.25">
      <c r="B32" s="60" t="s">
        <v>24</v>
      </c>
      <c r="C32" s="61">
        <f>VLOOKUP($D$27&amp;"-"&amp;B32,BD!$A:$D,4,FALSE)</f>
        <v>0.5</v>
      </c>
      <c r="D32" s="62">
        <f>$D$28*C32</f>
        <v>250</v>
      </c>
    </row>
    <row r="33" spans="2:4" ht="15.75" x14ac:dyDescent="0.25">
      <c r="B33" s="60" t="s">
        <v>25</v>
      </c>
      <c r="C33" s="61">
        <f>VLOOKUP($D$27&amp;"-"&amp;B33,BD!$A:$D,4,FALSE)</f>
        <v>0.1</v>
      </c>
      <c r="D33" s="62">
        <f>$D$28*C33</f>
        <v>50</v>
      </c>
    </row>
    <row r="34" spans="2:4" ht="15.75" x14ac:dyDescent="0.25">
      <c r="B34" s="60" t="s">
        <v>26</v>
      </c>
      <c r="C34" s="61">
        <f>VLOOKUP($D$27&amp;"-"&amp;B34,BD!$A:$D,4,FALSE)</f>
        <v>0.1</v>
      </c>
      <c r="D34" s="62">
        <f>$D$28*C34</f>
        <v>50</v>
      </c>
    </row>
    <row r="35" spans="2:4" ht="15.75" x14ac:dyDescent="0.25">
      <c r="B35" s="60" t="s">
        <v>27</v>
      </c>
      <c r="C35" s="61">
        <f>VLOOKUP($D$27&amp;"-"&amp;B35,BD!$A:$D,4,FALSE)</f>
        <v>0</v>
      </c>
      <c r="D35" s="62">
        <f>$D$28*C35</f>
        <v>0</v>
      </c>
    </row>
    <row r="36" spans="2:4" ht="15.75" x14ac:dyDescent="0.25">
      <c r="B36" s="63" t="s">
        <v>28</v>
      </c>
      <c r="C36" s="64">
        <f>VLOOKUP($D$27&amp;"-"&amp;B36,BD!$A:$D,4,FALSE)</f>
        <v>0</v>
      </c>
      <c r="D36" s="65">
        <f>$D$28*C36</f>
        <v>0</v>
      </c>
    </row>
    <row r="37" spans="2:4" ht="15.75" x14ac:dyDescent="0.25">
      <c r="B37" s="55"/>
      <c r="C37" s="55"/>
      <c r="D37" s="56">
        <f>SUM(D31:D36)</f>
        <v>500</v>
      </c>
    </row>
  </sheetData>
  <mergeCells count="13">
    <mergeCell ref="B27:C27"/>
    <mergeCell ref="B28:C28"/>
    <mergeCell ref="B8:C8"/>
    <mergeCell ref="B9:C9"/>
    <mergeCell ref="B10:C10"/>
    <mergeCell ref="B7:D7"/>
    <mergeCell ref="B13:C13"/>
    <mergeCell ref="B12:D12"/>
    <mergeCell ref="B16:C16"/>
    <mergeCell ref="B19:C19"/>
    <mergeCell ref="B14:C14"/>
    <mergeCell ref="B15:C15"/>
    <mergeCell ref="B17:C17"/>
  </mergeCells>
  <dataValidations count="1">
    <dataValidation type="list" allowBlank="1" showInputMessage="1" showErrorMessage="1" sqref="D27" xr:uid="{2518F8C5-5101-4875-A6B3-E4849FC3941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832A-D19B-4ACC-A4BA-F4CA0EC0E6D1}">
  <dimension ref="A2:H21"/>
  <sheetViews>
    <sheetView showGridLines="0" workbookViewId="0">
      <selection activeCell="F14" sqref="F1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10.28515625" customWidth="1"/>
    <col min="7" max="7" width="16.85546875" bestFit="1" customWidth="1"/>
    <col min="8" max="8" width="4.5703125" bestFit="1" customWidth="1"/>
  </cols>
  <sheetData>
    <row r="2" spans="1:8" x14ac:dyDescent="0.25">
      <c r="A2" s="24" t="s">
        <v>50</v>
      </c>
      <c r="B2" s="24" t="s">
        <v>17</v>
      </c>
      <c r="C2" s="25" t="s">
        <v>20</v>
      </c>
      <c r="D2" s="25" t="s">
        <v>29</v>
      </c>
      <c r="E2" s="26"/>
      <c r="F2" s="26"/>
      <c r="G2" s="26"/>
      <c r="H2" s="26"/>
    </row>
    <row r="3" spans="1:8" x14ac:dyDescent="0.25">
      <c r="A3" s="26" t="s">
        <v>30</v>
      </c>
      <c r="B3" s="26" t="s">
        <v>31</v>
      </c>
      <c r="C3" s="22" t="s">
        <v>23</v>
      </c>
      <c r="D3" s="23">
        <v>0.3</v>
      </c>
      <c r="E3" s="26"/>
      <c r="F3" s="26"/>
      <c r="G3" s="26"/>
      <c r="H3" s="26"/>
    </row>
    <row r="4" spans="1:8" x14ac:dyDescent="0.25">
      <c r="A4" s="26" t="s">
        <v>32</v>
      </c>
      <c r="B4" s="26" t="s">
        <v>31</v>
      </c>
      <c r="C4" s="22" t="s">
        <v>24</v>
      </c>
      <c r="D4" s="23">
        <v>0.5</v>
      </c>
      <c r="E4" s="26"/>
      <c r="F4" s="26"/>
      <c r="G4" s="69"/>
      <c r="H4" s="70"/>
    </row>
    <row r="5" spans="1:8" x14ac:dyDescent="0.25">
      <c r="A5" s="26" t="s">
        <v>34</v>
      </c>
      <c r="B5" s="26" t="s">
        <v>31</v>
      </c>
      <c r="C5" s="22" t="s">
        <v>25</v>
      </c>
      <c r="D5" s="23">
        <v>0.1</v>
      </c>
      <c r="E5" s="26"/>
      <c r="F5" s="26"/>
      <c r="G5" s="26"/>
      <c r="H5" s="26"/>
    </row>
    <row r="6" spans="1:8" x14ac:dyDescent="0.25">
      <c r="A6" s="26" t="s">
        <v>35</v>
      </c>
      <c r="B6" s="26" t="s">
        <v>31</v>
      </c>
      <c r="C6" s="22" t="s">
        <v>26</v>
      </c>
      <c r="D6" s="23">
        <v>0.1</v>
      </c>
      <c r="E6" s="26"/>
      <c r="F6" s="26"/>
      <c r="G6" s="26"/>
      <c r="H6" s="26"/>
    </row>
    <row r="7" spans="1:8" x14ac:dyDescent="0.25">
      <c r="A7" s="26" t="s">
        <v>36</v>
      </c>
      <c r="B7" s="26" t="s">
        <v>31</v>
      </c>
      <c r="C7" s="22" t="s">
        <v>27</v>
      </c>
      <c r="D7" s="23">
        <v>0</v>
      </c>
      <c r="E7" s="26"/>
      <c r="F7" s="26"/>
      <c r="G7" s="26"/>
      <c r="H7" s="26"/>
    </row>
    <row r="8" spans="1:8" ht="15.75" thickBot="1" x14ac:dyDescent="0.3">
      <c r="A8" s="27" t="s">
        <v>37</v>
      </c>
      <c r="B8" s="27" t="s">
        <v>31</v>
      </c>
      <c r="C8" s="28" t="s">
        <v>28</v>
      </c>
      <c r="D8" s="29">
        <v>0</v>
      </c>
      <c r="E8" s="26"/>
      <c r="F8" s="26"/>
      <c r="G8" s="26"/>
      <c r="H8" s="26"/>
    </row>
    <row r="9" spans="1:8" x14ac:dyDescent="0.25">
      <c r="A9" s="26" t="s">
        <v>38</v>
      </c>
      <c r="B9" s="26" t="s">
        <v>18</v>
      </c>
      <c r="C9" s="22" t="s">
        <v>23</v>
      </c>
      <c r="D9" s="23">
        <v>0.32</v>
      </c>
      <c r="E9" s="26"/>
      <c r="F9" s="26"/>
      <c r="G9" s="26"/>
      <c r="H9" s="26"/>
    </row>
    <row r="10" spans="1:8" x14ac:dyDescent="0.25">
      <c r="A10" s="66" t="s">
        <v>33</v>
      </c>
      <c r="B10" s="66" t="s">
        <v>18</v>
      </c>
      <c r="C10" s="67" t="s">
        <v>24</v>
      </c>
      <c r="D10" s="68">
        <v>0.35</v>
      </c>
      <c r="E10" s="26"/>
      <c r="F10" s="26"/>
      <c r="G10" s="26"/>
      <c r="H10" s="26"/>
    </row>
    <row r="11" spans="1:8" x14ac:dyDescent="0.25">
      <c r="A11" s="26" t="s">
        <v>39</v>
      </c>
      <c r="B11" s="26" t="s">
        <v>18</v>
      </c>
      <c r="C11" s="22" t="s">
        <v>25</v>
      </c>
      <c r="D11" s="23">
        <v>0.08</v>
      </c>
      <c r="E11" s="26"/>
      <c r="F11" s="26"/>
      <c r="G11" s="26"/>
      <c r="H11" s="26"/>
    </row>
    <row r="12" spans="1:8" x14ac:dyDescent="0.25">
      <c r="A12" s="26" t="s">
        <v>40</v>
      </c>
      <c r="B12" s="26" t="s">
        <v>18</v>
      </c>
      <c r="C12" s="22" t="s">
        <v>26</v>
      </c>
      <c r="D12" s="23">
        <v>0.05</v>
      </c>
      <c r="E12" s="26"/>
      <c r="F12" s="26"/>
      <c r="G12" s="26"/>
      <c r="H12" s="26"/>
    </row>
    <row r="13" spans="1:8" x14ac:dyDescent="0.25">
      <c r="A13" s="26" t="s">
        <v>41</v>
      </c>
      <c r="B13" s="26" t="s">
        <v>18</v>
      </c>
      <c r="C13" s="22" t="s">
        <v>27</v>
      </c>
      <c r="D13" s="23">
        <v>0.1</v>
      </c>
      <c r="E13" s="26"/>
      <c r="F13" s="26"/>
      <c r="G13" s="26"/>
      <c r="H13" s="26"/>
    </row>
    <row r="14" spans="1:8" ht="15.75" thickBot="1" x14ac:dyDescent="0.3">
      <c r="A14" s="27" t="s">
        <v>42</v>
      </c>
      <c r="B14" s="27" t="s">
        <v>18</v>
      </c>
      <c r="C14" s="28" t="s">
        <v>28</v>
      </c>
      <c r="D14" s="29">
        <v>0.1</v>
      </c>
      <c r="E14" s="26"/>
      <c r="F14" s="26"/>
      <c r="G14" s="26"/>
      <c r="H14" s="26"/>
    </row>
    <row r="15" spans="1:8" x14ac:dyDescent="0.25">
      <c r="A15" s="26" t="s">
        <v>43</v>
      </c>
      <c r="B15" s="26" t="s">
        <v>44</v>
      </c>
      <c r="C15" s="22" t="s">
        <v>23</v>
      </c>
      <c r="D15" s="23">
        <v>0.5</v>
      </c>
      <c r="E15" s="26"/>
      <c r="F15" s="26"/>
      <c r="G15" s="26"/>
      <c r="H15" s="26"/>
    </row>
    <row r="16" spans="1:8" x14ac:dyDescent="0.25">
      <c r="A16" s="26" t="s">
        <v>45</v>
      </c>
      <c r="B16" s="26" t="s">
        <v>44</v>
      </c>
      <c r="C16" s="22" t="s">
        <v>24</v>
      </c>
      <c r="D16" s="23">
        <v>0.1</v>
      </c>
      <c r="E16" s="26"/>
      <c r="F16" s="26"/>
      <c r="G16" s="26"/>
      <c r="H16" s="26"/>
    </row>
    <row r="17" spans="1:8" x14ac:dyDescent="0.25">
      <c r="A17" s="26" t="s">
        <v>46</v>
      </c>
      <c r="B17" s="26" t="s">
        <v>44</v>
      </c>
      <c r="C17" s="22" t="s">
        <v>25</v>
      </c>
      <c r="D17" s="23">
        <v>0.05</v>
      </c>
      <c r="E17" s="26"/>
      <c r="F17" s="26"/>
      <c r="G17" s="26"/>
      <c r="H17" s="26"/>
    </row>
    <row r="18" spans="1:8" x14ac:dyDescent="0.25">
      <c r="A18" s="26" t="s">
        <v>47</v>
      </c>
      <c r="B18" s="26" t="s">
        <v>44</v>
      </c>
      <c r="C18" s="22" t="s">
        <v>26</v>
      </c>
      <c r="D18" s="23">
        <v>0.05</v>
      </c>
      <c r="E18" s="26"/>
      <c r="F18" s="26"/>
      <c r="G18" s="26"/>
      <c r="H18" s="26"/>
    </row>
    <row r="19" spans="1:8" x14ac:dyDescent="0.25">
      <c r="A19" s="26" t="s">
        <v>48</v>
      </c>
      <c r="B19" s="26" t="s">
        <v>44</v>
      </c>
      <c r="C19" s="22" t="s">
        <v>27</v>
      </c>
      <c r="D19" s="23">
        <v>0.2</v>
      </c>
      <c r="E19" s="26"/>
      <c r="F19" s="26"/>
      <c r="G19" s="26"/>
      <c r="H19" s="26"/>
    </row>
    <row r="20" spans="1:8" x14ac:dyDescent="0.25">
      <c r="A20" s="26" t="s">
        <v>49</v>
      </c>
      <c r="B20" s="26" t="s">
        <v>44</v>
      </c>
      <c r="C20" s="22" t="s">
        <v>28</v>
      </c>
      <c r="D20" s="23">
        <v>0.1</v>
      </c>
      <c r="E20" s="26"/>
      <c r="F20" s="26"/>
      <c r="G20" s="26"/>
      <c r="H20" s="26"/>
    </row>
    <row r="21" spans="1:8" x14ac:dyDescent="0.25">
      <c r="A21" s="26"/>
      <c r="B21" s="26"/>
      <c r="C21" s="26"/>
      <c r="D21" s="22"/>
      <c r="E21" s="26"/>
      <c r="F21" s="26"/>
      <c r="G21" s="26"/>
      <c r="H21" s="2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Calculos</vt:lpstr>
      <vt:lpstr>BD</vt:lpstr>
      <vt:lpstr>aporte</vt:lpstr>
      <vt:lpstr>patrimonio</vt:lpstr>
      <vt:lpstr>qtd_anos</vt:lpstr>
      <vt:lpstr>red_carteira</vt:lpstr>
      <vt:lpstr>salario</vt:lpstr>
      <vt:lpstr>tax_mensal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Rodrigues</dc:creator>
  <cp:lastModifiedBy>Priscila Rodrigues</cp:lastModifiedBy>
  <dcterms:created xsi:type="dcterms:W3CDTF">2026-02-13T13:55:55Z</dcterms:created>
  <dcterms:modified xsi:type="dcterms:W3CDTF">2026-02-13T15:27:18Z</dcterms:modified>
</cp:coreProperties>
</file>